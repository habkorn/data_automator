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F:\ENTWICKLUNG\Software\data_automator\dist\TDMS_CSI_ExcelTemplates\"/>
    </mc:Choice>
  </mc:AlternateContent>
  <xr:revisionPtr revIDLastSave="0" documentId="13_ncr:1_{E4A2FDE3-4299-4126-84C7-8D8B5D8B9B57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Result" sheetId="1" r:id="rId1"/>
    <sheet name="Auswertung" sheetId="2" r:id="rId2"/>
    <sheet name="Result_transponiert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" l="1"/>
  <c r="H5" i="2"/>
  <c r="I5" i="2"/>
  <c r="J5" i="2"/>
  <c r="K5" i="2"/>
  <c r="L5" i="2"/>
  <c r="M5" i="2"/>
  <c r="M7" i="2" s="1"/>
  <c r="N5" i="2"/>
  <c r="O5" i="2"/>
  <c r="P5" i="2"/>
  <c r="Q5" i="2"/>
  <c r="R5" i="2"/>
  <c r="S5" i="2"/>
  <c r="T5" i="2"/>
  <c r="U5" i="2"/>
  <c r="V5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G7" i="2"/>
  <c r="H7" i="2"/>
  <c r="I7" i="2"/>
  <c r="J7" i="2"/>
  <c r="K7" i="2"/>
  <c r="L7" i="2"/>
  <c r="N7" i="2"/>
  <c r="O7" i="2"/>
  <c r="P7" i="2"/>
  <c r="Q7" i="2"/>
  <c r="R7" i="2"/>
  <c r="S7" i="2"/>
  <c r="T7" i="2"/>
  <c r="U7" i="2"/>
  <c r="V7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F8" i="2"/>
  <c r="F6" i="2"/>
  <c r="F5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F7" i="2" l="1"/>
</calcChain>
</file>

<file path=xl/sharedStrings.xml><?xml version="1.0" encoding="utf-8"?>
<sst xmlns="http://schemas.openxmlformats.org/spreadsheetml/2006/main" count="4" uniqueCount="4">
  <si>
    <t>Maximum</t>
  </si>
  <si>
    <t>Minimum</t>
  </si>
  <si>
    <t>Max-Min</t>
  </si>
  <si>
    <t>StdDev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</si>
</sst>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ENTWICKLUNG\Software\data_automator\TestTDMS\Result_Collection--MST2022081100.xlsx" TargetMode="External"/><Relationship Id="rId1" Type="http://schemas.openxmlformats.org/officeDocument/2006/relationships/externalLinkPath" Target="/ENTWICKLUNG/Software/data_automator/TestTDMS/Result_Collection--MST202208110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lt"/>
      <sheetName val="Charts"/>
    </sheetNames>
    <sheetDataSet>
      <sheetData sheetId="0">
        <row r="3">
          <cell r="B3" t="str">
            <v>name</v>
          </cell>
          <cell r="C3" t="str">
            <v>TestName</v>
          </cell>
          <cell r="D3" t="str">
            <v>Strom Limit [A]</v>
          </cell>
          <cell r="E3" t="str">
            <v>Wird Strom überschritten? (1..Ja, 0..Nein)</v>
          </cell>
          <cell r="F3" t="str">
            <v>(LLP Strom avg MAX 100ms) - (Strom Limit)  [A]</v>
          </cell>
          <cell r="G3" t="str">
            <v>LLP Zeit [ms]</v>
          </cell>
          <cell r="H3" t="str">
            <v>LLP Strom avg [A]</v>
          </cell>
          <cell r="I3" t="str">
            <v>LLP Strom avg MAX 100ms [A]</v>
          </cell>
          <cell r="J3" t="str">
            <v>LLP Drehzahl avg [1]</v>
          </cell>
          <cell r="K3" t="str">
            <v>LLP Hübe (berechnet aus durchschn. Drehzahl) [A]</v>
          </cell>
          <cell r="L3" t="str">
            <v>Durchschn. Strom zwischen 7 und 8 bar (Lastpunkt) [A]</v>
          </cell>
          <cell r="M3" t="str">
            <v>Drehzahl bei I_nenn=8 A [RPM]</v>
          </cell>
          <cell r="N3" t="str">
            <v>Strom max avg 20ms [A]</v>
          </cell>
          <cell r="O3" t="str">
            <v>Strom max avg 40ms [A]</v>
          </cell>
          <cell r="P3" t="str">
            <v>Strom max avg 150ms [A]</v>
          </cell>
          <cell r="Q3" t="str">
            <v>Strom max avg 750ms [A]</v>
          </cell>
          <cell r="R3" t="str">
            <v>Tstart Zyl [°C]</v>
          </cell>
          <cell r="S3" t="str">
            <v>Tmax Zyl  [°C]</v>
          </cell>
          <cell r="T3" t="str">
            <v>Tavg Zyl  [°C]</v>
          </cell>
          <cell r="U3" t="str">
            <v>Tstart Motor  [°C]</v>
          </cell>
          <cell r="V3" t="str">
            <v>Tmax Motor  [°C]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"/>
  <sheetViews>
    <sheetView workbookViewId="0">
      <selection activeCell="B3" sqref="B3"/>
    </sheetView>
  </sheetViews>
  <sheetFormatPr baseColWidth="10" defaultColWidth="8.88671875" defaultRowHeight="14.4" x14ac:dyDescent="0.3"/>
  <sheetData/>
  <pageMargins left="0.7" right="0.7" top="0.75" bottom="0.75" header="0.3" footer="0.3"/>
  <pageSetup paperSize="9" orientation="portrait" horizontalDpi="300" verticalDpi="300" r:id="rId1"/>
  <headerFooter>
    <oddFooter>&amp;C&amp;1#&amp;"Akkurat"&amp;7&amp;K737373Classification: Confidential Internal, Creator: thomas.haberkorn@ventrex.com, Date of Classification: 2023-03-21T11:00:36, Uncontrolled copy when printed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2105E-B73B-455B-ACB6-ED25B9971D91}">
  <sheetPr codeName="Tabelle2"/>
  <dimension ref="A3:V8"/>
  <sheetViews>
    <sheetView workbookViewId="0">
      <selection activeCell="E20" sqref="E20"/>
    </sheetView>
  </sheetViews>
  <sheetFormatPr baseColWidth="10" defaultRowHeight="14.4" x14ac:dyDescent="0.3"/>
  <cols>
    <col min="1" max="1" width="9.88671875" bestFit="1" customWidth="1"/>
    <col min="2" max="2" width="6" bestFit="1" customWidth="1"/>
    <col min="3" max="3" width="10" bestFit="1" customWidth="1"/>
    <col min="4" max="4" width="14.33203125" bestFit="1" customWidth="1"/>
    <col min="5" max="5" width="38.33203125" bestFit="1" customWidth="1"/>
    <col min="6" max="6" width="42.5546875" bestFit="1" customWidth="1"/>
    <col min="7" max="7" width="12.109375" bestFit="1" customWidth="1"/>
    <col min="8" max="8" width="16.33203125" bestFit="1" customWidth="1"/>
    <col min="9" max="9" width="27.109375" bestFit="1" customWidth="1"/>
    <col min="10" max="10" width="18.5546875" bestFit="1" customWidth="1"/>
    <col min="11" max="11" width="45.6640625" bestFit="1" customWidth="1"/>
    <col min="12" max="12" width="49.5546875" bestFit="1" customWidth="1"/>
    <col min="13" max="13" width="28.6640625" bestFit="1" customWidth="1"/>
    <col min="14" max="15" width="22.33203125" bestFit="1" customWidth="1"/>
    <col min="16" max="17" width="23.33203125" bestFit="1" customWidth="1"/>
    <col min="18" max="18" width="12.6640625" bestFit="1" customWidth="1"/>
    <col min="19" max="19" width="12.88671875" bestFit="1" customWidth="1"/>
    <col min="20" max="20" width="12.109375" bestFit="1" customWidth="1"/>
    <col min="21" max="21" width="16.109375" bestFit="1" customWidth="1"/>
    <col min="22" max="22" width="15.6640625" bestFit="1" customWidth="1"/>
  </cols>
  <sheetData>
    <row r="3" spans="1:22" x14ac:dyDescent="0.3">
      <c r="B3" t="str">
        <f>[1]Result!B3</f>
        <v>name</v>
      </c>
      <c r="C3" t="str">
        <f>[1]Result!C3</f>
        <v>TestName</v>
      </c>
      <c r="D3" t="str">
        <f>[1]Result!D3</f>
        <v>Strom Limit [A]</v>
      </c>
      <c r="E3" t="str">
        <f>[1]Result!E3</f>
        <v>Wird Strom überschritten? (1..Ja, 0..Nein)</v>
      </c>
      <c r="F3" t="str">
        <f>[1]Result!F3</f>
        <v>(LLP Strom avg MAX 100ms) - (Strom Limit)  [A]</v>
      </c>
      <c r="G3" t="str">
        <f>[1]Result!G3</f>
        <v>LLP Zeit [ms]</v>
      </c>
      <c r="H3" t="str">
        <f>[1]Result!H3</f>
        <v>LLP Strom avg [A]</v>
      </c>
      <c r="I3" t="str">
        <f>[1]Result!I3</f>
        <v>LLP Strom avg MAX 100ms [A]</v>
      </c>
      <c r="J3" t="str">
        <f>[1]Result!J3</f>
        <v>LLP Drehzahl avg [1]</v>
      </c>
      <c r="K3" t="str">
        <f>[1]Result!K3</f>
        <v>LLP Hübe (berechnet aus durchschn. Drehzahl) [A]</v>
      </c>
      <c r="L3" t="str">
        <f>[1]Result!L3</f>
        <v>Durchschn. Strom zwischen 7 und 8 bar (Lastpunkt) [A]</v>
      </c>
      <c r="M3" t="str">
        <f>[1]Result!M3</f>
        <v>Drehzahl bei I_nenn=8 A [RPM]</v>
      </c>
      <c r="N3" t="str">
        <f>[1]Result!N3</f>
        <v>Strom max avg 20ms [A]</v>
      </c>
      <c r="O3" t="str">
        <f>[1]Result!O3</f>
        <v>Strom max avg 40ms [A]</v>
      </c>
      <c r="P3" t="str">
        <f>[1]Result!P3</f>
        <v>Strom max avg 150ms [A]</v>
      </c>
      <c r="Q3" t="str">
        <f>[1]Result!Q3</f>
        <v>Strom max avg 750ms [A]</v>
      </c>
      <c r="R3" t="str">
        <f>[1]Result!R3</f>
        <v>Tstart Zyl [°C]</v>
      </c>
      <c r="S3" t="str">
        <f>[1]Result!S3</f>
        <v>Tmax Zyl  [°C]</v>
      </c>
      <c r="T3" t="str">
        <f>[1]Result!T3</f>
        <v>Tavg Zyl  [°C]</v>
      </c>
      <c r="U3" t="str">
        <f>[1]Result!U3</f>
        <v>Tstart Motor  [°C]</v>
      </c>
      <c r="V3" t="str">
        <f>[1]Result!V3</f>
        <v>Tmax Motor  [°C]</v>
      </c>
    </row>
    <row r="5" spans="1:22" x14ac:dyDescent="0.3">
      <c r="A5" t="s">
        <v>0</v>
      </c>
      <c r="F5">
        <f>MAX(Result!F4:F44)</f>
        <v>0</v>
      </c>
      <c r="G5">
        <f>MAX(Result!G4:G44)</f>
        <v>0</v>
      </c>
      <c r="H5">
        <f>MAX(Result!H4:H44)</f>
        <v>0</v>
      </c>
      <c r="I5">
        <f>MAX(Result!I4:I44)</f>
        <v>0</v>
      </c>
      <c r="J5">
        <f>MAX(Result!J4:J44)</f>
        <v>0</v>
      </c>
      <c r="K5">
        <f>MAX(Result!K4:K44)</f>
        <v>0</v>
      </c>
      <c r="L5">
        <f>MAX(Result!L4:L44)</f>
        <v>0</v>
      </c>
      <c r="M5">
        <f>MAX(Result!M4:M44)</f>
        <v>0</v>
      </c>
      <c r="N5">
        <f>MAX(Result!N4:N44)</f>
        <v>0</v>
      </c>
      <c r="O5">
        <f>MAX(Result!O4:O44)</f>
        <v>0</v>
      </c>
      <c r="P5">
        <f>MAX(Result!P4:P44)</f>
        <v>0</v>
      </c>
      <c r="Q5">
        <f>MAX(Result!Q4:Q44)</f>
        <v>0</v>
      </c>
      <c r="R5">
        <f>MAX(Result!R4:R44)</f>
        <v>0</v>
      </c>
      <c r="S5">
        <f>MAX(Result!S4:S44)</f>
        <v>0</v>
      </c>
      <c r="T5">
        <f>MAX(Result!T4:T44)</f>
        <v>0</v>
      </c>
      <c r="U5">
        <f>MAX(Result!U4:U44)</f>
        <v>0</v>
      </c>
      <c r="V5">
        <f>MAX(Result!V4:V44)</f>
        <v>0</v>
      </c>
    </row>
    <row r="6" spans="1:22" x14ac:dyDescent="0.3">
      <c r="A6" t="s">
        <v>1</v>
      </c>
      <c r="F6">
        <f>MIN(Result!F4:F44)</f>
        <v>0</v>
      </c>
      <c r="G6">
        <f>MIN(Result!G4:G44)</f>
        <v>0</v>
      </c>
      <c r="H6">
        <f>MIN(Result!H4:H44)</f>
        <v>0</v>
      </c>
      <c r="I6">
        <f>MIN(Result!I4:I44)</f>
        <v>0</v>
      </c>
      <c r="J6">
        <f>MIN(Result!J4:J44)</f>
        <v>0</v>
      </c>
      <c r="K6">
        <f>MIN(Result!K4:K44)</f>
        <v>0</v>
      </c>
      <c r="L6">
        <f>MIN(Result!L4:L44)</f>
        <v>0</v>
      </c>
      <c r="M6">
        <f>MIN(Result!M4:M44)</f>
        <v>0</v>
      </c>
      <c r="N6">
        <f>MIN(Result!N4:N44)</f>
        <v>0</v>
      </c>
      <c r="O6">
        <f>MIN(Result!O4:O44)</f>
        <v>0</v>
      </c>
      <c r="P6">
        <f>MIN(Result!P4:P44)</f>
        <v>0</v>
      </c>
      <c r="Q6">
        <f>MIN(Result!Q4:Q44)</f>
        <v>0</v>
      </c>
      <c r="R6">
        <f>MIN(Result!R4:R44)</f>
        <v>0</v>
      </c>
      <c r="S6">
        <f>MIN(Result!S4:S44)</f>
        <v>0</v>
      </c>
      <c r="T6">
        <f>MIN(Result!T4:T44)</f>
        <v>0</v>
      </c>
      <c r="U6">
        <f>MIN(Result!U4:U44)</f>
        <v>0</v>
      </c>
      <c r="V6">
        <f>MIN(Result!V4:V44)</f>
        <v>0</v>
      </c>
    </row>
    <row r="7" spans="1:22" x14ac:dyDescent="0.3">
      <c r="A7" t="s">
        <v>2</v>
      </c>
      <c r="F7">
        <f>F5-F6</f>
        <v>0</v>
      </c>
      <c r="G7">
        <f t="shared" ref="G7:V7" si="0">G5-G6</f>
        <v>0</v>
      </c>
      <c r="H7">
        <f t="shared" si="0"/>
        <v>0</v>
      </c>
      <c r="I7">
        <f t="shared" si="0"/>
        <v>0</v>
      </c>
      <c r="J7">
        <f t="shared" si="0"/>
        <v>0</v>
      </c>
      <c r="K7">
        <f t="shared" si="0"/>
        <v>0</v>
      </c>
      <c r="L7">
        <f t="shared" si="0"/>
        <v>0</v>
      </c>
      <c r="M7">
        <f t="shared" si="0"/>
        <v>0</v>
      </c>
      <c r="N7">
        <f t="shared" si="0"/>
        <v>0</v>
      </c>
      <c r="O7">
        <f t="shared" si="0"/>
        <v>0</v>
      </c>
      <c r="P7">
        <f t="shared" si="0"/>
        <v>0</v>
      </c>
      <c r="Q7">
        <f t="shared" si="0"/>
        <v>0</v>
      </c>
      <c r="R7">
        <f t="shared" si="0"/>
        <v>0</v>
      </c>
      <c r="S7">
        <f t="shared" si="0"/>
        <v>0</v>
      </c>
      <c r="T7">
        <f t="shared" si="0"/>
        <v>0</v>
      </c>
      <c r="U7">
        <f t="shared" si="0"/>
        <v>0</v>
      </c>
      <c r="V7">
        <f t="shared" si="0"/>
        <v>0</v>
      </c>
    </row>
    <row r="8" spans="1:22" x14ac:dyDescent="0.3">
      <c r="A8" t="s">
        <v>3</v>
      </c>
      <c r="F8" t="e">
        <f>_xlfn.STDEV.S(Result!F4:F5)</f>
        <v>#DIV/0!</v>
      </c>
      <c r="G8" t="e">
        <f>_xlfn.STDEV.S(Result!G4:G5)</f>
        <v>#DIV/0!</v>
      </c>
      <c r="H8" t="e">
        <f>_xlfn.STDEV.S(Result!H4:H5)</f>
        <v>#DIV/0!</v>
      </c>
      <c r="I8" t="e">
        <f>_xlfn.STDEV.S(Result!I4:I5)</f>
        <v>#DIV/0!</v>
      </c>
      <c r="J8" t="e">
        <f>_xlfn.STDEV.S(Result!J4:J5)</f>
        <v>#DIV/0!</v>
      </c>
      <c r="K8" t="e">
        <f>_xlfn.STDEV.S(Result!K4:K5)</f>
        <v>#DIV/0!</v>
      </c>
      <c r="L8" t="e">
        <f>_xlfn.STDEV.S(Result!L4:L5)</f>
        <v>#DIV/0!</v>
      </c>
      <c r="M8" t="e">
        <f>_xlfn.STDEV.S(Result!M4:M5)</f>
        <v>#DIV/0!</v>
      </c>
      <c r="N8" t="e">
        <f>_xlfn.STDEV.S(Result!N4:N5)</f>
        <v>#DIV/0!</v>
      </c>
      <c r="O8" t="e">
        <f>_xlfn.STDEV.S(Result!O4:O5)</f>
        <v>#DIV/0!</v>
      </c>
      <c r="P8" t="e">
        <f>_xlfn.STDEV.S(Result!P4:P5)</f>
        <v>#DIV/0!</v>
      </c>
      <c r="Q8" t="e">
        <f>_xlfn.STDEV.S(Result!Q4:Q5)</f>
        <v>#DIV/0!</v>
      </c>
      <c r="R8" t="e">
        <f>_xlfn.STDEV.S(Result!R4:R5)</f>
        <v>#DIV/0!</v>
      </c>
      <c r="S8" t="e">
        <f>_xlfn.STDEV.S(Result!S4:S5)</f>
        <v>#DIV/0!</v>
      </c>
      <c r="T8" t="e">
        <f>_xlfn.STDEV.S(Result!T4:T5)</f>
        <v>#DIV/0!</v>
      </c>
      <c r="U8" t="e">
        <f>_xlfn.STDEV.S(Result!U4:U5)</f>
        <v>#DIV/0!</v>
      </c>
      <c r="V8" t="e">
        <f>_xlfn.STDEV.S(Result!V4:V5)</f>
        <v>#DIV/0!</v>
      </c>
    </row>
  </sheetData>
  <conditionalFormatting sqref="E9:E24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6:E8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  <headerFooter>
    <oddFooter>&amp;C&amp;1#&amp;"Akkurat"&amp;7&amp;K737373Classification: Confidential Internal, Creator: thomas.haberkorn@ventrex.com, Date of Classification: 2023-03-21T11:00:36, Uncontrolled copy when printed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7943C-976C-45B8-A480-6C6BBF0A7135}">
  <sheetPr codeName="Tabelle3"/>
  <dimension ref="D2:AM3"/>
  <sheetViews>
    <sheetView tabSelected="1" workbookViewId="0">
      <selection activeCell="D2" sqref="D2:AM3"/>
    </sheetView>
  </sheetViews>
  <sheetFormatPr baseColWidth="10" defaultColWidth="8.88671875" defaultRowHeight="14.4" x14ac:dyDescent="0.3"/>
  <sheetData>
    <row r="2" spans="4:39" x14ac:dyDescent="0.3"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</row>
    <row r="3" spans="4:39" x14ac:dyDescent="0.3"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</sheetData>
  <pageMargins left="0.7" right="0.7" top="0.75" bottom="0.75" header="0.3" footer="0.3"/>
  <pageSetup paperSize="9" orientation="portrait" horizontalDpi="300" verticalDpi="300" r:id="rId1"/>
  <headerFooter>
    <oddFooter>&amp;C&amp;1#&amp;"Akkurat"&amp;7&amp;K737373Classification: Confidential Internal, Creator: thomas.haberkorn@ventrex.com, Date of Classification: 2023-03-21T11:00:36, Uncontrolled copy when printed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Result</vt:lpstr>
      <vt:lpstr>Auswertung</vt:lpstr>
      <vt:lpstr>Result_transponiert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Haberkorn Thomas</dc:creator>
  <cp:lastModifiedBy>Haberkorn Thomas</cp:lastModifiedBy>
  <dcterms:created xsi:type="dcterms:W3CDTF">2015-06-05T18:19:34Z</dcterms:created>
  <dcterms:modified xsi:type="dcterms:W3CDTF">2023-03-21T10:00:36Z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76a27c-e177-487d-9d16-0257bc36536b_Enabled">
    <vt:lpwstr>true</vt:lpwstr>
  </property>
  <property fmtid="{D5CDD505-2E9C-101B-9397-08002B2CF9AE}" pid="3" name="MSIP_Label_a776a27c-e177-487d-9d16-0257bc36536b_SetDate">
    <vt:lpwstr>2023-03-21T10:00:36Z</vt:lpwstr>
  </property>
  <property fmtid="{D5CDD505-2E9C-101B-9397-08002B2CF9AE}" pid="4" name="MSIP_Label_a776a27c-e177-487d-9d16-0257bc36536b_Method">
    <vt:lpwstr>Standard</vt:lpwstr>
  </property>
  <property fmtid="{D5CDD505-2E9C-101B-9397-08002B2CF9AE}" pid="5" name="MSIP_Label_a776a27c-e177-487d-9d16-0257bc36536b_Name">
    <vt:lpwstr>Confidential Internal (protected)</vt:lpwstr>
  </property>
  <property fmtid="{D5CDD505-2E9C-101B-9397-08002B2CF9AE}" pid="6" name="MSIP_Label_a776a27c-e177-487d-9d16-0257bc36536b_SiteId">
    <vt:lpwstr>b25bad19-bf9a-44d9-9b8c-df41e5166155</vt:lpwstr>
  </property>
  <property fmtid="{D5CDD505-2E9C-101B-9397-08002B2CF9AE}" pid="7" name="MSIP_Label_a776a27c-e177-487d-9d16-0257bc36536b_ActionId">
    <vt:lpwstr>f3e7b878-aa1c-416f-a348-dd15d3f7897f</vt:lpwstr>
  </property>
  <property fmtid="{D5CDD505-2E9C-101B-9397-08002B2CF9AE}" pid="8" name="MSIP_Label_a776a27c-e177-487d-9d16-0257bc36536b_ContentBits">
    <vt:lpwstr>2</vt:lpwstr>
  </property>
</Properties>
</file>