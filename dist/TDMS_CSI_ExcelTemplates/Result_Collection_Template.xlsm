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F:\ENTWICKLUNG\Software\data_automator\dist\TDMS_CSI_ExcelTemplates\"/>
    </mc:Choice>
  </mc:AlternateContent>
  <xr:revisionPtr revIDLastSave="0" documentId="13_ncr:1_{AD3E67DF-1FE5-48F3-B239-CB4327B0FDDF}" xr6:coauthVersionLast="47" xr6:coauthVersionMax="47" xr10:uidLastSave="{00000000-0000-0000-0000-000000000000}"/>
  <bookViews>
    <workbookView xWindow="4875" yWindow="2130" windowWidth="21600" windowHeight="12735" xr2:uid="{00000000-000D-0000-FFFF-FFFF00000000}"/>
  </bookViews>
  <sheets>
    <sheet name="Result" sheetId="1" r:id="rId1"/>
    <sheet name="Auswertung" sheetId="2" r:id="rId2"/>
    <sheet name="Result_transponier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" l="1"/>
  <c r="H5" i="2"/>
  <c r="I5" i="2"/>
  <c r="J5" i="2"/>
  <c r="K5" i="2"/>
  <c r="L5" i="2"/>
  <c r="M5" i="2"/>
  <c r="M7" i="2" s="1"/>
  <c r="N5" i="2"/>
  <c r="O5" i="2"/>
  <c r="P5" i="2"/>
  <c r="Q5" i="2"/>
  <c r="R5" i="2"/>
  <c r="S5" i="2"/>
  <c r="T5" i="2"/>
  <c r="U5" i="2"/>
  <c r="V5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G7" i="2"/>
  <c r="H7" i="2"/>
  <c r="I7" i="2"/>
  <c r="J7" i="2"/>
  <c r="K7" i="2"/>
  <c r="L7" i="2"/>
  <c r="N7" i="2"/>
  <c r="O7" i="2"/>
  <c r="P7" i="2"/>
  <c r="Q7" i="2"/>
  <c r="R7" i="2"/>
  <c r="S7" i="2"/>
  <c r="T7" i="2"/>
  <c r="U7" i="2"/>
  <c r="V7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F8" i="2"/>
  <c r="F6" i="2"/>
  <c r="F5" i="2"/>
  <c r="F7" i="2" l="1"/>
</calcChain>
</file>

<file path=xl/sharedStrings.xml><?xml version="1.0" encoding="utf-8"?>
<sst xmlns="http://schemas.openxmlformats.org/spreadsheetml/2006/main" count="25" uniqueCount="25">
  <si>
    <t>Maximum</t>
  </si>
  <si>
    <t>Minimum</t>
  </si>
  <si>
    <t>Max-Min</t>
  </si>
  <si>
    <t>StdDev</t>
  </si>
  <si>
    <t>name</t>
  </si>
  <si>
    <t>TestName</t>
  </si>
  <si>
    <t>Strom Limit [A]</t>
  </si>
  <si>
    <t>Wird Strom überschritten? (1..Ja, 0..Nein)</t>
  </si>
  <si>
    <t>(LLP Strom avg MAX 100ms) - (Strom Limit)  [A]</t>
  </si>
  <si>
    <t>LLP Zeit [ms]</t>
  </si>
  <si>
    <t>LLP Strom avg [A]</t>
  </si>
  <si>
    <t>LLP Strom avg MAX 100ms [A]</t>
  </si>
  <si>
    <t>LLP Drehzahl avg [1]</t>
  </si>
  <si>
    <t>LLP Hübe (berechnet aus durchschn. Drehzahl) [A]</t>
  </si>
  <si>
    <t>Durchschn. Strom zwischen 7 und 8 bar (Lastpunkt) [A]</t>
  </si>
  <si>
    <t>Drehzahl bei I_nenn=8 A [RPM]</t>
  </si>
  <si>
    <t>Strom max avg 20ms [A]</t>
  </si>
  <si>
    <t>Strom max avg 40ms [A]</t>
  </si>
  <si>
    <t>Strom max avg 150ms [A]</t>
  </si>
  <si>
    <t>Strom max avg 750ms [A]</t>
  </si>
  <si>
    <t>Tstart Zyl [°C]</t>
  </si>
  <si>
    <t>Tmax Zyl  [°C]</t>
  </si>
  <si>
    <t>Tavg Zyl  [°C]</t>
  </si>
  <si>
    <t>Tstart Motor  [°C]</t>
  </si>
  <si>
    <t>Tmax Motor  [°C]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</si>
</sst>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C16:C29"/>
  <sheetViews>
    <sheetView tabSelected="1" topLeftCell="A3" workbookViewId="0">
      <selection activeCell="C16" sqref="C16:C29"/>
    </sheetView>
  </sheetViews>
  <sheetFormatPr baseColWidth="10" defaultColWidth="8.85546875" defaultRowHeight="15" x14ac:dyDescent="0.25"/>
  <sheetData>
    <row r="16" spans="3:3" x14ac:dyDescent="0.25">
      <c r="C16" s="2"/>
    </row>
    <row r="17" spans="3:3" x14ac:dyDescent="0.25">
      <c r="C17" s="2"/>
    </row>
    <row r="18" spans="3:3" x14ac:dyDescent="0.25">
      <c r="C18" s="2"/>
    </row>
    <row r="19" spans="3:3" x14ac:dyDescent="0.25">
      <c r="C19" s="2"/>
    </row>
    <row r="20" spans="3:3" x14ac:dyDescent="0.25">
      <c r="C20" s="2"/>
    </row>
    <row r="21" spans="3:3" x14ac:dyDescent="0.25">
      <c r="C21" s="2"/>
    </row>
    <row r="22" spans="3:3" x14ac:dyDescent="0.25">
      <c r="C22" s="2"/>
    </row>
    <row r="23" spans="3:3" x14ac:dyDescent="0.25">
      <c r="C23" s="2"/>
    </row>
    <row r="24" spans="3:3" x14ac:dyDescent="0.25">
      <c r="C24" s="2"/>
    </row>
    <row r="25" spans="3:3" x14ac:dyDescent="0.25">
      <c r="C25" s="2"/>
    </row>
    <row r="26" spans="3:3" x14ac:dyDescent="0.25">
      <c r="C26" s="2"/>
    </row>
    <row r="27" spans="3:3" x14ac:dyDescent="0.25">
      <c r="C27" s="2"/>
    </row>
    <row r="28" spans="3:3" x14ac:dyDescent="0.25">
      <c r="C28" s="2"/>
    </row>
    <row r="29" spans="3:3" x14ac:dyDescent="0.25">
      <c r="C29" s="2"/>
    </row>
  </sheetData>
  <pageMargins left="0.7" right="0.7" top="0.75" bottom="0.75" header="0.3" footer="0.3"/>
  <pageSetup paperSize="9" orientation="portrait" horizontalDpi="300" verticalDpi="300" r:id="rId1"/>
  <headerFooter>
    <oddFooter>&amp;C&amp;1#&amp;"Akkurat"&amp;7&amp;K737373Classification: Confidential Internal, Creator: thomas.haberkorn@ventrex.com, Date of Classification: 2023-03-21T11:00:36, Uncontrolled copy when printed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2105E-B73B-455B-ACB6-ED25B9971D91}">
  <sheetPr codeName="Tabelle2"/>
  <dimension ref="A3:V8"/>
  <sheetViews>
    <sheetView workbookViewId="0">
      <selection activeCell="E20" sqref="E20"/>
    </sheetView>
  </sheetViews>
  <sheetFormatPr baseColWidth="10" defaultRowHeight="15" x14ac:dyDescent="0.25"/>
  <cols>
    <col min="1" max="1" width="9.85546875" bestFit="1" customWidth="1"/>
    <col min="2" max="2" width="6" bestFit="1" customWidth="1"/>
    <col min="3" max="3" width="10" bestFit="1" customWidth="1"/>
    <col min="4" max="4" width="14.28515625" bestFit="1" customWidth="1"/>
    <col min="5" max="5" width="38.28515625" bestFit="1" customWidth="1"/>
    <col min="6" max="6" width="42.5703125" bestFit="1" customWidth="1"/>
    <col min="7" max="7" width="12.140625" bestFit="1" customWidth="1"/>
    <col min="8" max="8" width="16.28515625" bestFit="1" customWidth="1"/>
    <col min="9" max="9" width="27.140625" bestFit="1" customWidth="1"/>
    <col min="10" max="10" width="18.5703125" bestFit="1" customWidth="1"/>
    <col min="11" max="11" width="45.7109375" bestFit="1" customWidth="1"/>
    <col min="12" max="12" width="49.5703125" bestFit="1" customWidth="1"/>
    <col min="13" max="13" width="28.7109375" bestFit="1" customWidth="1"/>
    <col min="14" max="15" width="22.28515625" bestFit="1" customWidth="1"/>
    <col min="16" max="17" width="23.28515625" bestFit="1" customWidth="1"/>
    <col min="18" max="18" width="12.7109375" bestFit="1" customWidth="1"/>
    <col min="19" max="19" width="12.85546875" bestFit="1" customWidth="1"/>
    <col min="20" max="20" width="12.140625" bestFit="1" customWidth="1"/>
    <col min="21" max="21" width="16.140625" bestFit="1" customWidth="1"/>
    <col min="22" max="22" width="15.7109375" bestFit="1" customWidth="1"/>
  </cols>
  <sheetData>
    <row r="3" spans="1:22" x14ac:dyDescent="0.25">
      <c r="B3" t="s">
        <v>4</v>
      </c>
      <c r="C3" t="s">
        <v>5</v>
      </c>
      <c r="D3" t="s">
        <v>6</v>
      </c>
      <c r="E3" t="s">
        <v>7</v>
      </c>
      <c r="F3" t="s">
        <v>8</v>
      </c>
      <c r="G3" t="s">
        <v>9</v>
      </c>
      <c r="H3" t="s">
        <v>10</v>
      </c>
      <c r="I3" t="s">
        <v>11</v>
      </c>
      <c r="J3" t="s">
        <v>12</v>
      </c>
      <c r="K3" t="s">
        <v>13</v>
      </c>
      <c r="L3" t="s">
        <v>14</v>
      </c>
      <c r="M3" t="s">
        <v>15</v>
      </c>
      <c r="N3" t="s">
        <v>16</v>
      </c>
      <c r="O3" t="s">
        <v>17</v>
      </c>
      <c r="P3" t="s">
        <v>18</v>
      </c>
      <c r="Q3" t="s">
        <v>19</v>
      </c>
      <c r="R3" t="s">
        <v>20</v>
      </c>
      <c r="S3" t="s">
        <v>21</v>
      </c>
      <c r="T3" t="s">
        <v>22</v>
      </c>
      <c r="U3" t="s">
        <v>23</v>
      </c>
      <c r="V3" t="s">
        <v>24</v>
      </c>
    </row>
    <row r="5" spans="1:22" x14ac:dyDescent="0.25">
      <c r="A5" t="s">
        <v>0</v>
      </c>
      <c r="F5">
        <f>MAX(Result!F4:F44)</f>
        <v>0</v>
      </c>
      <c r="G5">
        <f>MAX(Result!G4:G44)</f>
        <v>0</v>
      </c>
      <c r="H5">
        <f>MAX(Result!H4:H44)</f>
        <v>0</v>
      </c>
      <c r="I5">
        <f>MAX(Result!I4:I44)</f>
        <v>0</v>
      </c>
      <c r="J5">
        <f>MAX(Result!J4:J44)</f>
        <v>0</v>
      </c>
      <c r="K5">
        <f>MAX(Result!K4:K44)</f>
        <v>0</v>
      </c>
      <c r="L5">
        <f>MAX(Result!L4:L44)</f>
        <v>0</v>
      </c>
      <c r="M5">
        <f>MAX(Result!M4:M44)</f>
        <v>0</v>
      </c>
      <c r="N5">
        <f>MAX(Result!N4:N44)</f>
        <v>0</v>
      </c>
      <c r="O5">
        <f>MAX(Result!O4:O44)</f>
        <v>0</v>
      </c>
      <c r="P5">
        <f>MAX(Result!P4:P44)</f>
        <v>0</v>
      </c>
      <c r="Q5">
        <f>MAX(Result!Q4:Q44)</f>
        <v>0</v>
      </c>
      <c r="R5">
        <f>MAX(Result!R4:R44)</f>
        <v>0</v>
      </c>
      <c r="S5">
        <f>MAX(Result!S4:S44)</f>
        <v>0</v>
      </c>
      <c r="T5">
        <f>MAX(Result!T4:T44)</f>
        <v>0</v>
      </c>
      <c r="U5">
        <f>MAX(Result!U4:U44)</f>
        <v>0</v>
      </c>
      <c r="V5">
        <f>MAX(Result!V4:V44)</f>
        <v>0</v>
      </c>
    </row>
    <row r="6" spans="1:22" x14ac:dyDescent="0.25">
      <c r="A6" t="s">
        <v>1</v>
      </c>
      <c r="F6">
        <f>MIN(Result!F4:F44)</f>
        <v>0</v>
      </c>
      <c r="G6">
        <f>MIN(Result!G4:G44)</f>
        <v>0</v>
      </c>
      <c r="H6">
        <f>MIN(Result!H4:H44)</f>
        <v>0</v>
      </c>
      <c r="I6">
        <f>MIN(Result!I4:I44)</f>
        <v>0</v>
      </c>
      <c r="J6">
        <f>MIN(Result!J4:J44)</f>
        <v>0</v>
      </c>
      <c r="K6">
        <f>MIN(Result!K4:K44)</f>
        <v>0</v>
      </c>
      <c r="L6">
        <f>MIN(Result!L4:L44)</f>
        <v>0</v>
      </c>
      <c r="M6">
        <f>MIN(Result!M4:M44)</f>
        <v>0</v>
      </c>
      <c r="N6">
        <f>MIN(Result!N4:N44)</f>
        <v>0</v>
      </c>
      <c r="O6">
        <f>MIN(Result!O4:O44)</f>
        <v>0</v>
      </c>
      <c r="P6">
        <f>MIN(Result!P4:P44)</f>
        <v>0</v>
      </c>
      <c r="Q6">
        <f>MIN(Result!Q4:Q44)</f>
        <v>0</v>
      </c>
      <c r="R6">
        <f>MIN(Result!R4:R44)</f>
        <v>0</v>
      </c>
      <c r="S6">
        <f>MIN(Result!S4:S44)</f>
        <v>0</v>
      </c>
      <c r="T6">
        <f>MIN(Result!T4:T44)</f>
        <v>0</v>
      </c>
      <c r="U6">
        <f>MIN(Result!U4:U44)</f>
        <v>0</v>
      </c>
      <c r="V6">
        <f>MIN(Result!V4:V44)</f>
        <v>0</v>
      </c>
    </row>
    <row r="7" spans="1:22" x14ac:dyDescent="0.25">
      <c r="A7" t="s">
        <v>2</v>
      </c>
      <c r="F7">
        <f>F5-F6</f>
        <v>0</v>
      </c>
      <c r="G7">
        <f t="shared" ref="G7:V7" si="0">G5-G6</f>
        <v>0</v>
      </c>
      <c r="H7">
        <f t="shared" si="0"/>
        <v>0</v>
      </c>
      <c r="I7">
        <f t="shared" si="0"/>
        <v>0</v>
      </c>
      <c r="J7">
        <f t="shared" si="0"/>
        <v>0</v>
      </c>
      <c r="K7">
        <f t="shared" si="0"/>
        <v>0</v>
      </c>
      <c r="L7">
        <f t="shared" si="0"/>
        <v>0</v>
      </c>
      <c r="M7">
        <f t="shared" si="0"/>
        <v>0</v>
      </c>
      <c r="N7">
        <f t="shared" si="0"/>
        <v>0</v>
      </c>
      <c r="O7">
        <f t="shared" si="0"/>
        <v>0</v>
      </c>
      <c r="P7">
        <f t="shared" si="0"/>
        <v>0</v>
      </c>
      <c r="Q7">
        <f t="shared" si="0"/>
        <v>0</v>
      </c>
      <c r="R7">
        <f t="shared" si="0"/>
        <v>0</v>
      </c>
      <c r="S7">
        <f t="shared" si="0"/>
        <v>0</v>
      </c>
      <c r="T7">
        <f t="shared" si="0"/>
        <v>0</v>
      </c>
      <c r="U7">
        <f t="shared" si="0"/>
        <v>0</v>
      </c>
      <c r="V7">
        <f t="shared" si="0"/>
        <v>0</v>
      </c>
    </row>
    <row r="8" spans="1:22" x14ac:dyDescent="0.25">
      <c r="A8" t="s">
        <v>3</v>
      </c>
      <c r="F8" t="e">
        <f>_xlfn.STDEV.S(Result!F4:F5)</f>
        <v>#DIV/0!</v>
      </c>
      <c r="G8" t="e">
        <f>_xlfn.STDEV.S(Result!G4:G5)</f>
        <v>#DIV/0!</v>
      </c>
      <c r="H8" t="e">
        <f>_xlfn.STDEV.S(Result!H4:H5)</f>
        <v>#DIV/0!</v>
      </c>
      <c r="I8" t="e">
        <f>_xlfn.STDEV.S(Result!I4:I5)</f>
        <v>#DIV/0!</v>
      </c>
      <c r="J8" t="e">
        <f>_xlfn.STDEV.S(Result!J4:J5)</f>
        <v>#DIV/0!</v>
      </c>
      <c r="K8" t="e">
        <f>_xlfn.STDEV.S(Result!K4:K5)</f>
        <v>#DIV/0!</v>
      </c>
      <c r="L8" t="e">
        <f>_xlfn.STDEV.S(Result!L4:L5)</f>
        <v>#DIV/0!</v>
      </c>
      <c r="M8" t="e">
        <f>_xlfn.STDEV.S(Result!M4:M5)</f>
        <v>#DIV/0!</v>
      </c>
      <c r="N8" t="e">
        <f>_xlfn.STDEV.S(Result!N4:N5)</f>
        <v>#DIV/0!</v>
      </c>
      <c r="O8" t="e">
        <f>_xlfn.STDEV.S(Result!O4:O5)</f>
        <v>#DIV/0!</v>
      </c>
      <c r="P8" t="e">
        <f>_xlfn.STDEV.S(Result!P4:P5)</f>
        <v>#DIV/0!</v>
      </c>
      <c r="Q8" t="e">
        <f>_xlfn.STDEV.S(Result!Q4:Q5)</f>
        <v>#DIV/0!</v>
      </c>
      <c r="R8" t="e">
        <f>_xlfn.STDEV.S(Result!R4:R5)</f>
        <v>#DIV/0!</v>
      </c>
      <c r="S8" t="e">
        <f>_xlfn.STDEV.S(Result!S4:S5)</f>
        <v>#DIV/0!</v>
      </c>
      <c r="T8" t="e">
        <f>_xlfn.STDEV.S(Result!T4:T5)</f>
        <v>#DIV/0!</v>
      </c>
      <c r="U8" t="e">
        <f>_xlfn.STDEV.S(Result!U4:U5)</f>
        <v>#DIV/0!</v>
      </c>
      <c r="V8" t="e">
        <f>_xlfn.STDEV.S(Result!V4:V5)</f>
        <v>#DIV/0!</v>
      </c>
    </row>
  </sheetData>
  <conditionalFormatting sqref="E9:E24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6:E8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8740157499999996" bottom="0.78740157499999996" header="0.3" footer="0.3"/>
  <pageSetup paperSize="9" orientation="portrait" horizontalDpi="300" verticalDpi="300" r:id="rId1"/>
  <headerFooter>
    <oddFooter>&amp;C&amp;1#&amp;"Akkurat"&amp;7&amp;K737373Classification: Confidential Internal, Creator: thomas.haberkorn@ventrex.com, Date of Classification: 2023-03-21T11:00:36, Uncontrolled copy when printed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7943C-976C-45B8-A480-6C6BBF0A7135}">
  <sheetPr codeName="Tabelle3"/>
  <dimension ref="D2:AM3"/>
  <sheetViews>
    <sheetView workbookViewId="0">
      <selection activeCell="G19" sqref="G19"/>
    </sheetView>
  </sheetViews>
  <sheetFormatPr baseColWidth="10" defaultColWidth="8.85546875" defaultRowHeight="15" x14ac:dyDescent="0.25"/>
  <sheetData>
    <row r="2" spans="4:39" x14ac:dyDescent="0.25"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</row>
    <row r="3" spans="4:39" x14ac:dyDescent="0.25"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</row>
  </sheetData>
  <pageMargins left="0.7" right="0.7" top="0.75" bottom="0.75" header="0.3" footer="0.3"/>
  <pageSetup paperSize="9" orientation="portrait" horizontalDpi="300" verticalDpi="300" r:id="rId1"/>
  <headerFooter>
    <oddFooter>&amp;C&amp;1#&amp;"Akkurat"&amp;7&amp;K737373Classification: Confidential Internal, Creator: thomas.haberkorn@ventrex.com, Date of Classification: 2023-03-21T11:00:36, Uncontrolled copy when printed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Result</vt:lpstr>
      <vt:lpstr>Auswertung</vt:lpstr>
      <vt:lpstr>Result_transponiert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Haberkorn Thomas</dc:creator>
  <cp:lastModifiedBy>Haberkorn Thomas</cp:lastModifiedBy>
  <dcterms:created xsi:type="dcterms:W3CDTF">2015-06-05T18:19:34Z</dcterms:created>
  <dcterms:modified xsi:type="dcterms:W3CDTF">2023-11-29T13:09:37Z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76a27c-e177-487d-9d16-0257bc36536b_Enabled">
    <vt:lpwstr>true</vt:lpwstr>
  </property>
  <property fmtid="{D5CDD505-2E9C-101B-9397-08002B2CF9AE}" pid="3" name="MSIP_Label_a776a27c-e177-487d-9d16-0257bc36536b_SetDate">
    <vt:lpwstr>2023-03-21T10:00:36Z</vt:lpwstr>
  </property>
  <property fmtid="{D5CDD505-2E9C-101B-9397-08002B2CF9AE}" pid="4" name="MSIP_Label_a776a27c-e177-487d-9d16-0257bc36536b_Method">
    <vt:lpwstr>Standard</vt:lpwstr>
  </property>
  <property fmtid="{D5CDD505-2E9C-101B-9397-08002B2CF9AE}" pid="5" name="MSIP_Label_a776a27c-e177-487d-9d16-0257bc36536b_Name">
    <vt:lpwstr>Confidential Internal (protected)</vt:lpwstr>
  </property>
  <property fmtid="{D5CDD505-2E9C-101B-9397-08002B2CF9AE}" pid="6" name="MSIP_Label_a776a27c-e177-487d-9d16-0257bc36536b_SiteId">
    <vt:lpwstr>b25bad19-bf9a-44d9-9b8c-df41e5166155</vt:lpwstr>
  </property>
  <property fmtid="{D5CDD505-2E9C-101B-9397-08002B2CF9AE}" pid="7" name="MSIP_Label_a776a27c-e177-487d-9d16-0257bc36536b_ActionId">
    <vt:lpwstr>f3e7b878-aa1c-416f-a348-dd15d3f7897f</vt:lpwstr>
  </property>
  <property fmtid="{D5CDD505-2E9C-101B-9397-08002B2CF9AE}" pid="8" name="MSIP_Label_a776a27c-e177-487d-9d16-0257bc36536b_ContentBits">
    <vt:lpwstr>2</vt:lpwstr>
  </property>
</Properties>
</file>