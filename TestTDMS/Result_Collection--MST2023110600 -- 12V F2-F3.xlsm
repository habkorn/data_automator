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\\ven-file\data1\ENTWICKLUNG\Software\data_automator\TestTDMS\"/>
    </mc:Choice>
  </mc:AlternateContent>
  <xr:revisionPtr revIDLastSave="0" documentId="13_ncr:1_{7EEDB846-2074-48CE-8D01-EF340E7948A4}" xr6:coauthVersionLast="47" xr6:coauthVersionMax="47" xr10:uidLastSave="{00000000-0000-0000-0000-000000000000}"/>
  <bookViews>
    <workbookView xWindow="33795" yWindow="4050" windowWidth="21600" windowHeight="12735" xr2:uid="{00000000-000D-0000-FFFF-FFFF00000000}"/>
  </bookViews>
  <sheets>
    <sheet name="Result" sheetId="1" r:id="rId1"/>
    <sheet name="Auswertung" sheetId="2" r:id="rId2"/>
    <sheet name="Result_transponie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H5" i="2"/>
  <c r="H7" i="2" s="1"/>
  <c r="I5" i="2"/>
  <c r="I7" i="2" s="1"/>
  <c r="J5" i="2"/>
  <c r="J7" i="2" s="1"/>
  <c r="K5" i="2"/>
  <c r="K7" i="2" s="1"/>
  <c r="L5" i="2"/>
  <c r="L7" i="2" s="1"/>
  <c r="M5" i="2"/>
  <c r="M7" i="2" s="1"/>
  <c r="N5" i="2"/>
  <c r="N7" i="2" s="1"/>
  <c r="O5" i="2"/>
  <c r="O7" i="2" s="1"/>
  <c r="P5" i="2"/>
  <c r="P7" i="2" s="1"/>
  <c r="Q5" i="2"/>
  <c r="Q7" i="2" s="1"/>
  <c r="R5" i="2"/>
  <c r="R7" i="2" s="1"/>
  <c r="S5" i="2"/>
  <c r="S7" i="2" s="1"/>
  <c r="T5" i="2"/>
  <c r="T7" i="2" s="1"/>
  <c r="U5" i="2"/>
  <c r="U7" i="2" s="1"/>
  <c r="V5" i="2"/>
  <c r="V7" i="2" s="1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G7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F8" i="2"/>
  <c r="F6" i="2"/>
  <c r="F5" i="2"/>
  <c r="F7" i="2" l="1"/>
</calcChain>
</file>

<file path=xl/sharedStrings.xml><?xml version="1.0" encoding="utf-8"?>
<sst xmlns="http://schemas.openxmlformats.org/spreadsheetml/2006/main" count="101" uniqueCount="45">
  <si>
    <t>Maximum</t>
  </si>
  <si>
    <t>Minimum</t>
  </si>
  <si>
    <t>Max-Min</t>
  </si>
  <si>
    <t>StdDev</t>
  </si>
  <si>
    <t>name</t>
  </si>
  <si>
    <t>TestName</t>
  </si>
  <si>
    <t>Strom Limit [A]</t>
  </si>
  <si>
    <t>Wird Strom überschritten? (1..Ja, 0..Nein)</t>
  </si>
  <si>
    <t>(LLP Strom avg MAX 100ms) - (Strom Limit)  [A]</t>
  </si>
  <si>
    <t>LLP Zeit [ms]</t>
  </si>
  <si>
    <t>LLP Strom avg [A]</t>
  </si>
  <si>
    <t>LLP Strom avg MAX 100ms [A]</t>
  </si>
  <si>
    <t>LLP Drehzahl avg [1]</t>
  </si>
  <si>
    <t>LLP Hübe (berechnet aus durchschn. Drehzahl) [A]</t>
  </si>
  <si>
    <t>Durchschn. Strom zwischen 7 und 8 bar (Lastpunkt) [A]</t>
  </si>
  <si>
    <t>Drehzahl bei I_nenn=8 A [RPM]</t>
  </si>
  <si>
    <t>Strom max avg 20ms [A]</t>
  </si>
  <si>
    <t>Strom max avg 40ms [A]</t>
  </si>
  <si>
    <t>Strom max avg 150ms [A]</t>
  </si>
  <si>
    <t>Strom max avg 750ms [A]</t>
  </si>
  <si>
    <t>Tstart Zyl [°C]</t>
  </si>
  <si>
    <t>Tmax Zyl  [°C]</t>
  </si>
  <si>
    <t>Tavg Zyl  [°C]</t>
  </si>
  <si>
    <t>Tstart Motor  [°C]</t>
  </si>
  <si>
    <t>Tmax Motor  [°C]</t>
  </si>
  <si>
    <t>Link</t>
  </si>
  <si>
    <t>Bauteilnummer</t>
  </si>
  <si>
    <t>Station</t>
  </si>
  <si>
    <t>Zyklus</t>
  </si>
  <si>
    <t>Drehzahl bei I=7 A [RPM]</t>
  </si>
  <si>
    <t>Strom init Threshold</t>
  </si>
  <si>
    <t>LLP Strom MAX Durchschnitt 100ms (wie im Labview)</t>
  </si>
  <si>
    <t>Tstart Zylinder [°C]</t>
  </si>
  <si>
    <t>Tmax Zylinder  [°C]</t>
  </si>
  <si>
    <t>Tavg Zylinder  [°C]</t>
  </si>
  <si>
    <t>Tavg Motor  [°C]</t>
  </si>
  <si>
    <t>max. Zeitspanne bei der Strom= &gt;0 bis &lt;10.5 A ist [s]</t>
  </si>
  <si>
    <t>max. Zeitspanne bei der Strom= &gt;10.5 bis &lt;14.25 A ist [s]</t>
  </si>
  <si>
    <t>max. Zeitspanne bei der Strom= &gt;14.25 bis &lt;24 A ist [s]</t>
  </si>
  <si>
    <t>max. Zeitspanne bei der Strom= &gt;24 bis &lt;46.5 A ist [s]</t>
  </si>
  <si>
    <t>max. Zeitspanne bei der Strom= &gt;46.5 bis &lt;84 A ist [s]</t>
  </si>
  <si>
    <t>max. Zeitspanne bei der Strom= &gt;9 A ist [s]</t>
  </si>
  <si>
    <t>CSI_FKT F2-F3 Z_0 MST2023110600_001_12V_DV5_Modul_20231117_073106</t>
  </si>
  <si>
    <t>12V F2-F3</t>
  </si>
  <si>
    <t>F:/ENTWICKLUNG/Software/data_automator/TestTDMS/12V F2-F3--CSI_FKT F2-F3 Z_0 MST2023110600_001_12V_DV5_Modul_20231117_073106.xlsm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</si>
</sst>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12V%20F2-F3--CSI_FKT%20F2-F3%20Z_0%20MST2023110600_001_12V_DV5_Modul_20231117_073106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12V%20F2-F3--CSI_FKT%20F2-F3%20Z_0%20MST2023110600_001_12V_DV5_Modul_20231117_073106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Z29"/>
  <sheetViews>
    <sheetView tabSelected="1" workbookViewId="0">
      <selection activeCell="D1" sqref="D1:CZ2"/>
    </sheetView>
  </sheetViews>
  <sheetFormatPr baseColWidth="10" defaultColWidth="8.85546875" defaultRowHeight="15" x14ac:dyDescent="0.25"/>
  <cols>
    <col min="1" max="1" width="10.7109375" customWidth="1"/>
    <col min="2" max="2" width="67.7109375" bestFit="1" customWidth="1"/>
    <col min="3" max="3" width="14.85546875" bestFit="1" customWidth="1"/>
    <col min="4" max="4" width="7.28515625" bestFit="1" customWidth="1"/>
    <col min="5" max="5" width="6.5703125" bestFit="1" customWidth="1"/>
    <col min="6" max="6" width="10" bestFit="1" customWidth="1"/>
    <col min="7" max="7" width="14.28515625" bestFit="1" customWidth="1"/>
    <col min="8" max="8" width="38.28515625" bestFit="1" customWidth="1"/>
    <col min="9" max="9" width="49.5703125" bestFit="1" customWidth="1"/>
    <col min="10" max="10" width="23" bestFit="1" customWidth="1"/>
    <col min="11" max="11" width="28.7109375" bestFit="1" customWidth="1"/>
    <col min="12" max="12" width="16.28515625" bestFit="1" customWidth="1"/>
    <col min="13" max="13" width="42.5703125" bestFit="1" customWidth="1"/>
    <col min="14" max="14" width="27.140625" bestFit="1" customWidth="1"/>
    <col min="15" max="15" width="19.140625" bestFit="1" customWidth="1"/>
    <col min="16" max="16" width="12.140625" bestFit="1" customWidth="1"/>
    <col min="17" max="17" width="48.28515625" bestFit="1" customWidth="1"/>
    <col min="18" max="18" width="18.5703125" bestFit="1" customWidth="1"/>
    <col min="19" max="19" width="45.7109375" bestFit="1" customWidth="1"/>
    <col min="20" max="21" width="22.28515625" bestFit="1" customWidth="1"/>
    <col min="22" max="23" width="23.28515625" bestFit="1" customWidth="1"/>
    <col min="24" max="24" width="17.5703125" bestFit="1" customWidth="1"/>
    <col min="25" max="25" width="17.7109375" bestFit="1" customWidth="1"/>
    <col min="26" max="26" width="17" bestFit="1" customWidth="1"/>
    <col min="27" max="27" width="16.140625" bestFit="1" customWidth="1"/>
    <col min="28" max="28" width="15.7109375" bestFit="1" customWidth="1"/>
    <col min="29" max="29" width="15" bestFit="1" customWidth="1"/>
    <col min="30" max="30" width="47.42578125" bestFit="1" customWidth="1"/>
    <col min="31" max="31" width="51" bestFit="1" customWidth="1"/>
    <col min="32" max="32" width="49.42578125" bestFit="1" customWidth="1"/>
    <col min="33" max="34" width="48.42578125" bestFit="1" customWidth="1"/>
    <col min="35" max="35" width="39.140625" bestFit="1" customWidth="1"/>
  </cols>
  <sheetData>
    <row r="1" spans="1:104" x14ac:dyDescent="0.25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x14ac:dyDescent="0.25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</row>
    <row r="3" spans="1:104" x14ac:dyDescent="0.25">
      <c r="A3" t="s">
        <v>25</v>
      </c>
      <c r="B3" t="s">
        <v>4</v>
      </c>
      <c r="C3" t="s">
        <v>26</v>
      </c>
      <c r="D3" t="s">
        <v>27</v>
      </c>
      <c r="E3" t="s">
        <v>28</v>
      </c>
      <c r="F3" t="s">
        <v>5</v>
      </c>
      <c r="G3" t="s">
        <v>6</v>
      </c>
      <c r="H3" t="s">
        <v>7</v>
      </c>
      <c r="I3" t="s">
        <v>14</v>
      </c>
      <c r="J3" t="s">
        <v>29</v>
      </c>
      <c r="K3" t="s">
        <v>15</v>
      </c>
      <c r="L3" t="s">
        <v>10</v>
      </c>
      <c r="M3" t="s">
        <v>8</v>
      </c>
      <c r="N3" t="s">
        <v>11</v>
      </c>
      <c r="O3" t="s">
        <v>30</v>
      </c>
      <c r="P3" t="s">
        <v>9</v>
      </c>
      <c r="Q3" t="s">
        <v>31</v>
      </c>
      <c r="R3" t="s">
        <v>12</v>
      </c>
      <c r="S3" t="s">
        <v>13</v>
      </c>
      <c r="T3" t="s">
        <v>16</v>
      </c>
      <c r="U3" t="s">
        <v>17</v>
      </c>
      <c r="V3" t="s">
        <v>18</v>
      </c>
      <c r="W3" t="s">
        <v>19</v>
      </c>
      <c r="X3" t="s">
        <v>32</v>
      </c>
      <c r="Y3" t="s">
        <v>33</v>
      </c>
      <c r="Z3" t="s">
        <v>34</v>
      </c>
      <c r="AA3" t="s">
        <v>23</v>
      </c>
      <c r="AB3" t="s">
        <v>24</v>
      </c>
      <c r="AC3" t="s">
        <v>35</v>
      </c>
      <c r="AD3" t="s">
        <v>36</v>
      </c>
      <c r="AE3" t="s">
        <v>37</v>
      </c>
      <c r="AF3" t="s">
        <v>38</v>
      </c>
      <c r="AG3" t="s">
        <v>39</v>
      </c>
      <c r="AH3" t="s">
        <v>40</v>
      </c>
      <c r="AI3" t="s">
        <v>41</v>
      </c>
    </row>
    <row r="4" spans="1:104" ht="21" customHeight="1" x14ac:dyDescent="0.25">
      <c r="A4" s="3" t="s">
        <v>44</v>
      </c>
      <c r="B4" t="s">
        <v>42</v>
      </c>
      <c r="C4">
        <v>1</v>
      </c>
      <c r="F4" t="s">
        <v>43</v>
      </c>
      <c r="G4">
        <v>9</v>
      </c>
      <c r="H4">
        <v>0</v>
      </c>
      <c r="I4">
        <v>7.6291064503877832</v>
      </c>
      <c r="J4">
        <v>5697.8543597304133</v>
      </c>
      <c r="K4">
        <v>5405.405405405405</v>
      </c>
      <c r="L4">
        <v>7.1833610858318044</v>
      </c>
      <c r="M4">
        <v>-0.9921875</v>
      </c>
      <c r="N4">
        <v>8.0078125</v>
      </c>
      <c r="O4">
        <v>1</v>
      </c>
      <c r="P4">
        <v>69.778000000000006</v>
      </c>
      <c r="Q4">
        <v>7.8370312499999999</v>
      </c>
      <c r="R4">
        <v>5635.6118597368722</v>
      </c>
      <c r="S4">
        <v>6554.0287391453257</v>
      </c>
      <c r="T4">
        <v>14.0921875</v>
      </c>
      <c r="U4">
        <v>14.08828125</v>
      </c>
      <c r="V4">
        <v>11.239062499999999</v>
      </c>
      <c r="W4">
        <v>8.3105833333333337</v>
      </c>
      <c r="X4">
        <v>19.446404999999999</v>
      </c>
      <c r="Y4">
        <v>88.684550000000002</v>
      </c>
      <c r="Z4">
        <v>57.274937000000008</v>
      </c>
      <c r="AA4">
        <v>19.521189</v>
      </c>
      <c r="AB4">
        <v>23.309671000000002</v>
      </c>
      <c r="AC4">
        <v>20.877308458823535</v>
      </c>
      <c r="AD4">
        <v>70.094999999999999</v>
      </c>
      <c r="AE4">
        <v>0.08</v>
      </c>
      <c r="AF4">
        <v>0</v>
      </c>
      <c r="AG4">
        <v>0</v>
      </c>
      <c r="AH4" s="1">
        <v>0</v>
      </c>
      <c r="AI4">
        <v>8.3000000000000004E-2</v>
      </c>
    </row>
    <row r="16" spans="1:104" x14ac:dyDescent="0.25">
      <c r="C16" s="2"/>
    </row>
    <row r="17" spans="3:3" x14ac:dyDescent="0.25">
      <c r="C17" s="2"/>
    </row>
    <row r="18" spans="3:3" x14ac:dyDescent="0.25">
      <c r="C18" s="2"/>
    </row>
    <row r="19" spans="3:3" x14ac:dyDescent="0.25">
      <c r="C19" s="2"/>
    </row>
    <row r="20" spans="3:3" x14ac:dyDescent="0.25">
      <c r="C20" s="2"/>
    </row>
    <row r="21" spans="3:3" x14ac:dyDescent="0.25">
      <c r="C21" s="2"/>
    </row>
    <row r="22" spans="3:3" x14ac:dyDescent="0.25">
      <c r="C22" s="2"/>
    </row>
    <row r="23" spans="3:3" x14ac:dyDescent="0.25">
      <c r="C23" s="2"/>
    </row>
    <row r="24" spans="3:3" x14ac:dyDescent="0.25">
      <c r="C24" s="2"/>
    </row>
    <row r="25" spans="3:3" x14ac:dyDescent="0.25">
      <c r="C25" s="2"/>
    </row>
    <row r="26" spans="3:3" x14ac:dyDescent="0.25">
      <c r="C26" s="2"/>
    </row>
    <row r="27" spans="3:3" x14ac:dyDescent="0.25">
      <c r="C27" s="2"/>
    </row>
    <row r="28" spans="3:3" x14ac:dyDescent="0.25">
      <c r="C28" s="2"/>
    </row>
    <row r="29" spans="3:3" x14ac:dyDescent="0.25">
      <c r="C29" s="2"/>
    </row>
  </sheetData>
  <hyperlinks>
    <hyperlink ref="A4" r:id="rId1" tooltip="F:/ENTWICKLUNG/Software/data_automator/TestTDMS/12V F2-F3--CSI_FKT F2-F3 Z_0 MST2023110600_001_12V_DV5_Modul_20231117_073106.xlsm - Click once to follow. Click and hold to select this cell." xr:uid="{27020611-77E5-407C-9F52-ED490FF78E3D}"/>
  </hyperlinks>
  <pageMargins left="0.7" right="0.7" top="0.75" bottom="0.75" header="0.3" footer="0.3"/>
  <pageSetup paperSize="9" orientation="portrait" horizontalDpi="300" verticalDpi="300" r:id="rId2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2105E-B73B-455B-ACB6-ED25B9971D91}">
  <sheetPr codeName="Tabelle2"/>
  <dimension ref="A3:V8"/>
  <sheetViews>
    <sheetView workbookViewId="0">
      <selection activeCell="E20" sqref="E20"/>
    </sheetView>
  </sheetViews>
  <sheetFormatPr baseColWidth="10" defaultRowHeight="15" x14ac:dyDescent="0.25"/>
  <cols>
    <col min="1" max="1" width="9.85546875" bestFit="1" customWidth="1"/>
    <col min="2" max="2" width="6" bestFit="1" customWidth="1"/>
    <col min="3" max="3" width="10" bestFit="1" customWidth="1"/>
    <col min="4" max="4" width="14.28515625" bestFit="1" customWidth="1"/>
    <col min="5" max="5" width="38.28515625" bestFit="1" customWidth="1"/>
    <col min="6" max="6" width="42.5703125" bestFit="1" customWidth="1"/>
    <col min="7" max="7" width="12.140625" bestFit="1" customWidth="1"/>
    <col min="8" max="8" width="16.28515625" bestFit="1" customWidth="1"/>
    <col min="9" max="9" width="27.140625" bestFit="1" customWidth="1"/>
    <col min="10" max="10" width="18.5703125" bestFit="1" customWidth="1"/>
    <col min="11" max="11" width="45.7109375" bestFit="1" customWidth="1"/>
    <col min="12" max="12" width="49.5703125" bestFit="1" customWidth="1"/>
    <col min="13" max="13" width="28.7109375" bestFit="1" customWidth="1"/>
    <col min="14" max="15" width="22.28515625" bestFit="1" customWidth="1"/>
    <col min="16" max="17" width="23.28515625" bestFit="1" customWidth="1"/>
    <col min="18" max="18" width="12.7109375" bestFit="1" customWidth="1"/>
    <col min="19" max="19" width="12.85546875" bestFit="1" customWidth="1"/>
    <col min="20" max="20" width="12.140625" bestFit="1" customWidth="1"/>
    <col min="21" max="21" width="16.140625" bestFit="1" customWidth="1"/>
    <col min="22" max="22" width="15.7109375" bestFit="1" customWidth="1"/>
  </cols>
  <sheetData>
    <row r="3" spans="1:22" x14ac:dyDescent="0.25"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M3" t="s">
        <v>15</v>
      </c>
      <c r="N3" t="s">
        <v>16</v>
      </c>
      <c r="O3" t="s">
        <v>17</v>
      </c>
      <c r="P3" t="s">
        <v>18</v>
      </c>
      <c r="Q3" t="s">
        <v>19</v>
      </c>
      <c r="R3" t="s">
        <v>20</v>
      </c>
      <c r="S3" t="s">
        <v>21</v>
      </c>
      <c r="T3" t="s">
        <v>22</v>
      </c>
      <c r="U3" t="s">
        <v>23</v>
      </c>
      <c r="V3" t="s">
        <v>24</v>
      </c>
    </row>
    <row r="5" spans="1:22" x14ac:dyDescent="0.25">
      <c r="A5" t="s">
        <v>0</v>
      </c>
      <c r="F5">
        <f>MAX(Result!F4:F44)</f>
        <v>0</v>
      </c>
      <c r="G5">
        <f>MAX(Result!G4:G44)</f>
        <v>9</v>
      </c>
      <c r="H5">
        <f>MAX(Result!H4:H44)</f>
        <v>0</v>
      </c>
      <c r="I5">
        <f>MAX(Result!I4:I44)</f>
        <v>7.6291064503877832</v>
      </c>
      <c r="J5">
        <f>MAX(Result!J4:J44)</f>
        <v>5697.8543597304133</v>
      </c>
      <c r="K5">
        <f>MAX(Result!K4:K44)</f>
        <v>5405.405405405405</v>
      </c>
      <c r="L5">
        <f>MAX(Result!L4:L44)</f>
        <v>7.1833610858318044</v>
      </c>
      <c r="M5">
        <f>MAX(Result!M4:M44)</f>
        <v>-0.9921875</v>
      </c>
      <c r="N5">
        <f>MAX(Result!N4:N44)</f>
        <v>8.0078125</v>
      </c>
      <c r="O5">
        <f>MAX(Result!O4:O44)</f>
        <v>1</v>
      </c>
      <c r="P5">
        <f>MAX(Result!P4:P44)</f>
        <v>69.778000000000006</v>
      </c>
      <c r="Q5">
        <f>MAX(Result!Q4:Q44)</f>
        <v>7.8370312499999999</v>
      </c>
      <c r="R5">
        <f>MAX(Result!R4:R44)</f>
        <v>5635.6118597368722</v>
      </c>
      <c r="S5">
        <f>MAX(Result!S4:S44)</f>
        <v>6554.0287391453257</v>
      </c>
      <c r="T5">
        <f>MAX(Result!T4:T44)</f>
        <v>14.0921875</v>
      </c>
      <c r="U5">
        <f>MAX(Result!U4:U44)</f>
        <v>14.08828125</v>
      </c>
      <c r="V5">
        <f>MAX(Result!V4:V44)</f>
        <v>11.239062499999999</v>
      </c>
    </row>
    <row r="6" spans="1:22" x14ac:dyDescent="0.25">
      <c r="A6" t="s">
        <v>1</v>
      </c>
      <c r="F6">
        <f>MIN(Result!F4:F44)</f>
        <v>0</v>
      </c>
      <c r="G6">
        <f>MIN(Result!G4:G44)</f>
        <v>9</v>
      </c>
      <c r="H6">
        <f>MIN(Result!H4:H44)</f>
        <v>0</v>
      </c>
      <c r="I6">
        <f>MIN(Result!I4:I44)</f>
        <v>7.6291064503877832</v>
      </c>
      <c r="J6">
        <f>MIN(Result!J4:J44)</f>
        <v>5697.8543597304133</v>
      </c>
      <c r="K6">
        <f>MIN(Result!K4:K44)</f>
        <v>5405.405405405405</v>
      </c>
      <c r="L6">
        <f>MIN(Result!L4:L44)</f>
        <v>7.1833610858318044</v>
      </c>
      <c r="M6">
        <f>MIN(Result!M4:M44)</f>
        <v>-0.9921875</v>
      </c>
      <c r="N6">
        <f>MIN(Result!N4:N44)</f>
        <v>8.0078125</v>
      </c>
      <c r="O6">
        <f>MIN(Result!O4:O44)</f>
        <v>1</v>
      </c>
      <c r="P6">
        <f>MIN(Result!P4:P44)</f>
        <v>69.778000000000006</v>
      </c>
      <c r="Q6">
        <f>MIN(Result!Q4:Q44)</f>
        <v>7.8370312499999999</v>
      </c>
      <c r="R6">
        <f>MIN(Result!R4:R44)</f>
        <v>5635.6118597368722</v>
      </c>
      <c r="S6">
        <f>MIN(Result!S4:S44)</f>
        <v>6554.0287391453257</v>
      </c>
      <c r="T6">
        <f>MIN(Result!T4:T44)</f>
        <v>14.0921875</v>
      </c>
      <c r="U6">
        <f>MIN(Result!U4:U44)</f>
        <v>14.08828125</v>
      </c>
      <c r="V6">
        <f>MIN(Result!V4:V44)</f>
        <v>11.239062499999999</v>
      </c>
    </row>
    <row r="7" spans="1:22" x14ac:dyDescent="0.25">
      <c r="A7" t="s">
        <v>2</v>
      </c>
      <c r="F7">
        <f>F5-F6</f>
        <v>0</v>
      </c>
      <c r="G7">
        <f t="shared" ref="G7:V7" si="0">G5-G6</f>
        <v>0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0"/>
        <v>0</v>
      </c>
      <c r="S7">
        <f t="shared" si="0"/>
        <v>0</v>
      </c>
      <c r="T7">
        <f t="shared" si="0"/>
        <v>0</v>
      </c>
      <c r="U7">
        <f t="shared" si="0"/>
        <v>0</v>
      </c>
      <c r="V7">
        <f t="shared" si="0"/>
        <v>0</v>
      </c>
    </row>
    <row r="8" spans="1:22" x14ac:dyDescent="0.25">
      <c r="A8" t="s">
        <v>3</v>
      </c>
      <c r="F8" t="e">
        <f>_xlfn.STDEV.S(Result!F4:F5)</f>
        <v>#DIV/0!</v>
      </c>
      <c r="G8" t="e">
        <f>_xlfn.STDEV.S(Result!G4:G5)</f>
        <v>#DIV/0!</v>
      </c>
      <c r="H8" t="e">
        <f>_xlfn.STDEV.S(Result!H4:H5)</f>
        <v>#DIV/0!</v>
      </c>
      <c r="I8" t="e">
        <f>_xlfn.STDEV.S(Result!I4:I5)</f>
        <v>#DIV/0!</v>
      </c>
      <c r="J8" t="e">
        <f>_xlfn.STDEV.S(Result!J4:J5)</f>
        <v>#DIV/0!</v>
      </c>
      <c r="K8" t="e">
        <f>_xlfn.STDEV.S(Result!K4:K5)</f>
        <v>#DIV/0!</v>
      </c>
      <c r="L8" t="e">
        <f>_xlfn.STDEV.S(Result!L4:L5)</f>
        <v>#DIV/0!</v>
      </c>
      <c r="M8" t="e">
        <f>_xlfn.STDEV.S(Result!M4:M5)</f>
        <v>#DIV/0!</v>
      </c>
      <c r="N8" t="e">
        <f>_xlfn.STDEV.S(Result!N4:N5)</f>
        <v>#DIV/0!</v>
      </c>
      <c r="O8" t="e">
        <f>_xlfn.STDEV.S(Result!O4:O5)</f>
        <v>#DIV/0!</v>
      </c>
      <c r="P8" t="e">
        <f>_xlfn.STDEV.S(Result!P4:P5)</f>
        <v>#DIV/0!</v>
      </c>
      <c r="Q8" t="e">
        <f>_xlfn.STDEV.S(Result!Q4:Q5)</f>
        <v>#DIV/0!</v>
      </c>
      <c r="R8" t="e">
        <f>_xlfn.STDEV.S(Result!R4:R5)</f>
        <v>#DIV/0!</v>
      </c>
      <c r="S8" t="e">
        <f>_xlfn.STDEV.S(Result!S4:S5)</f>
        <v>#DIV/0!</v>
      </c>
      <c r="T8" t="e">
        <f>_xlfn.STDEV.S(Result!T4:T5)</f>
        <v>#DIV/0!</v>
      </c>
      <c r="U8" t="e">
        <f>_xlfn.STDEV.S(Result!U4:U5)</f>
        <v>#DIV/0!</v>
      </c>
      <c r="V8" t="e">
        <f>_xlfn.STDEV.S(Result!V4:V5)</f>
        <v>#DIV/0!</v>
      </c>
    </row>
  </sheetData>
  <conditionalFormatting sqref="E9:E2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6:E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7943C-976C-45B8-A480-6C6BBF0A7135}">
  <sheetPr codeName="Tabelle3"/>
  <dimension ref="C1:AM35"/>
  <sheetViews>
    <sheetView workbookViewId="0">
      <selection activeCell="G19" sqref="G19"/>
    </sheetView>
  </sheetViews>
  <sheetFormatPr baseColWidth="10" defaultColWidth="8.85546875" defaultRowHeight="15" x14ac:dyDescent="0.25"/>
  <cols>
    <col min="1" max="2" width="5.7109375" customWidth="1"/>
    <col min="3" max="3" width="45.7109375" customWidth="1"/>
    <col min="4" max="104" width="16.7109375" customWidth="1"/>
  </cols>
  <sheetData>
    <row r="1" spans="3:39" x14ac:dyDescent="0.25">
      <c r="C1" t="s">
        <v>25</v>
      </c>
      <c r="D1" s="3" t="s">
        <v>44</v>
      </c>
    </row>
    <row r="2" spans="3:39" ht="150" x14ac:dyDescent="0.25">
      <c r="C2" t="s">
        <v>4</v>
      </c>
      <c r="D2" s="1" t="s">
        <v>42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3:39" x14ac:dyDescent="0.25">
      <c r="C3" t="s">
        <v>26</v>
      </c>
      <c r="D3" s="1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3:39" x14ac:dyDescent="0.25">
      <c r="C4" t="s">
        <v>27</v>
      </c>
    </row>
    <row r="5" spans="3:39" x14ac:dyDescent="0.25">
      <c r="C5" t="s">
        <v>28</v>
      </c>
    </row>
    <row r="6" spans="3:39" x14ac:dyDescent="0.25">
      <c r="C6" t="s">
        <v>5</v>
      </c>
      <c r="D6" t="s">
        <v>43</v>
      </c>
    </row>
    <row r="7" spans="3:39" x14ac:dyDescent="0.25">
      <c r="C7" t="s">
        <v>6</v>
      </c>
      <c r="D7">
        <v>9</v>
      </c>
    </row>
    <row r="8" spans="3:39" x14ac:dyDescent="0.25">
      <c r="C8" t="s">
        <v>7</v>
      </c>
      <c r="D8">
        <v>0</v>
      </c>
    </row>
    <row r="9" spans="3:39" x14ac:dyDescent="0.25">
      <c r="C9" t="s">
        <v>14</v>
      </c>
      <c r="D9">
        <v>7.6291064503877832</v>
      </c>
    </row>
    <row r="10" spans="3:39" x14ac:dyDescent="0.25">
      <c r="C10" t="s">
        <v>29</v>
      </c>
      <c r="D10">
        <v>5697.8543597304133</v>
      </c>
    </row>
    <row r="11" spans="3:39" x14ac:dyDescent="0.25">
      <c r="C11" t="s">
        <v>15</v>
      </c>
      <c r="D11">
        <v>5405.405405405405</v>
      </c>
    </row>
    <row r="12" spans="3:39" x14ac:dyDescent="0.25">
      <c r="C12" t="s">
        <v>10</v>
      </c>
      <c r="D12">
        <v>7.1833610858318044</v>
      </c>
    </row>
    <row r="13" spans="3:39" x14ac:dyDescent="0.25">
      <c r="C13" t="s">
        <v>8</v>
      </c>
      <c r="D13">
        <v>-0.9921875</v>
      </c>
    </row>
    <row r="14" spans="3:39" x14ac:dyDescent="0.25">
      <c r="C14" t="s">
        <v>11</v>
      </c>
      <c r="D14">
        <v>8.0078125</v>
      </c>
    </row>
    <row r="15" spans="3:39" x14ac:dyDescent="0.25">
      <c r="C15" t="s">
        <v>30</v>
      </c>
      <c r="D15">
        <v>1</v>
      </c>
    </row>
    <row r="16" spans="3:39" x14ac:dyDescent="0.25">
      <c r="C16" s="2" t="s">
        <v>9</v>
      </c>
      <c r="D16" s="2">
        <v>69.778000000000006</v>
      </c>
    </row>
    <row r="17" spans="3:4" x14ac:dyDescent="0.25">
      <c r="C17" s="2" t="s">
        <v>31</v>
      </c>
      <c r="D17" s="2">
        <v>7.8370312499999999</v>
      </c>
    </row>
    <row r="18" spans="3:4" x14ac:dyDescent="0.25">
      <c r="C18" s="2" t="s">
        <v>12</v>
      </c>
      <c r="D18" s="2">
        <v>5635.6118597368722</v>
      </c>
    </row>
    <row r="19" spans="3:4" x14ac:dyDescent="0.25">
      <c r="C19" s="2" t="s">
        <v>13</v>
      </c>
      <c r="D19" s="2">
        <v>6554.0287391453257</v>
      </c>
    </row>
    <row r="20" spans="3:4" x14ac:dyDescent="0.25">
      <c r="C20" s="2" t="s">
        <v>16</v>
      </c>
      <c r="D20" s="2">
        <v>14.0921875</v>
      </c>
    </row>
    <row r="21" spans="3:4" x14ac:dyDescent="0.25">
      <c r="C21" s="2" t="s">
        <v>17</v>
      </c>
      <c r="D21" s="2">
        <v>14.08828125</v>
      </c>
    </row>
    <row r="22" spans="3:4" x14ac:dyDescent="0.25">
      <c r="C22" s="2" t="s">
        <v>18</v>
      </c>
      <c r="D22" s="2">
        <v>11.239062499999999</v>
      </c>
    </row>
    <row r="23" spans="3:4" x14ac:dyDescent="0.25">
      <c r="C23" s="2" t="s">
        <v>19</v>
      </c>
      <c r="D23" s="2">
        <v>8.3105833333333337</v>
      </c>
    </row>
    <row r="24" spans="3:4" x14ac:dyDescent="0.25">
      <c r="C24" s="2" t="s">
        <v>32</v>
      </c>
      <c r="D24" s="2">
        <v>19.446404999999999</v>
      </c>
    </row>
    <row r="25" spans="3:4" x14ac:dyDescent="0.25">
      <c r="C25" s="2" t="s">
        <v>33</v>
      </c>
      <c r="D25" s="2">
        <v>88.684550000000002</v>
      </c>
    </row>
    <row r="26" spans="3:4" x14ac:dyDescent="0.25">
      <c r="C26" s="2" t="s">
        <v>34</v>
      </c>
      <c r="D26" s="2">
        <v>57.274937000000008</v>
      </c>
    </row>
    <row r="27" spans="3:4" x14ac:dyDescent="0.25">
      <c r="C27" s="2" t="s">
        <v>23</v>
      </c>
      <c r="D27" s="2">
        <v>19.521189</v>
      </c>
    </row>
    <row r="28" spans="3:4" x14ac:dyDescent="0.25">
      <c r="C28" s="2" t="s">
        <v>24</v>
      </c>
      <c r="D28" s="2">
        <v>23.309671000000002</v>
      </c>
    </row>
    <row r="29" spans="3:4" x14ac:dyDescent="0.25">
      <c r="C29" s="2" t="s">
        <v>35</v>
      </c>
      <c r="D29" s="2">
        <v>20.877308458823535</v>
      </c>
    </row>
    <row r="30" spans="3:4" x14ac:dyDescent="0.25">
      <c r="C30" t="s">
        <v>36</v>
      </c>
      <c r="D30">
        <v>70.094999999999999</v>
      </c>
    </row>
    <row r="31" spans="3:4" x14ac:dyDescent="0.25">
      <c r="C31" t="s">
        <v>37</v>
      </c>
      <c r="D31">
        <v>0.08</v>
      </c>
    </row>
    <row r="32" spans="3:4" x14ac:dyDescent="0.25">
      <c r="C32" t="s">
        <v>38</v>
      </c>
      <c r="D32">
        <v>0</v>
      </c>
    </row>
    <row r="33" spans="3:4" x14ac:dyDescent="0.25">
      <c r="C33" t="s">
        <v>39</v>
      </c>
      <c r="D33">
        <v>0</v>
      </c>
    </row>
    <row r="34" spans="3:4" x14ac:dyDescent="0.25">
      <c r="C34" t="s">
        <v>40</v>
      </c>
      <c r="D34">
        <v>0</v>
      </c>
    </row>
    <row r="35" spans="3:4" x14ac:dyDescent="0.25">
      <c r="C35" t="s">
        <v>41</v>
      </c>
      <c r="D35">
        <v>8.3000000000000004E-2</v>
      </c>
    </row>
  </sheetData>
  <hyperlinks>
    <hyperlink ref="D1" r:id="rId1" tooltip="F:/ENTWICKLUNG/Software/data_automator/TestTDMS/12V F2-F3--CSI_FKT F2-F3 Z_0 MST2023110600_001_12V_DV5_Modul_20231117_073106.xlsm - Click once to follow. Click and hold to select this cell." xr:uid="{D1D226A5-EF10-4E4C-8894-A136054E2533}"/>
  </hyperlinks>
  <pageMargins left="0.7" right="0.7" top="0.75" bottom="0.75" header="0.3" footer="0.3"/>
  <pageSetup paperSize="9" orientation="portrait" horizontalDpi="300" verticalDpi="300" r:id="rId2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Result</vt:lpstr>
      <vt:lpstr>Auswertung</vt:lpstr>
      <vt:lpstr>Result_transponiert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2015-06-05T18:19:34Z</dcterms:created>
  <dcterms:modified xsi:type="dcterms:W3CDTF">2023-12-01T20:55:34Z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2023-03-21T10:00:36Z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f3e7b878-aa1c-416f-a348-dd15d3f7897f</vt:lpwstr>
  </property>
  <property fmtid="{D5CDD505-2E9C-101B-9397-08002B2CF9AE}" pid="8" name="MSIP_Label_a776a27c-e177-487d-9d16-0257bc36536b_ContentBits">
    <vt:lpwstr>2</vt:lpwstr>
  </property>
</Properties>
</file>